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TM Registry" sheetId="1" state="visible" r:id="rId3"/>
    <sheet name="Tracking Summary" sheetId="2" state="visible" r:id="rId4"/>
    <sheet name="Naming Convention" sheetId="3" state="visible" r:id="rId5"/>
  </sheets>
  <definedNames>
    <definedName function="false" hidden="true" localSheetId="0" name="_xlnm._FilterDatabase" vbProcedure="false">'UTM Registry'!$A$1:$L$14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<sst xmlns="http://schemas.openxmlformats.org/spreadsheetml/2006/main" count="165" uniqueCount="85">
  <si>
    <t xml:space="preserve">Campaign ID</t>
  </si>
  <si>
    <t xml:space="preserve">Platform</t>
  </si>
  <si>
    <t xml:space="preserve">Market</t>
  </si>
  <si>
    <t xml:space="preserve">Funnel Stage</t>
  </si>
  <si>
    <t xml:space="preserve">utm_source</t>
  </si>
  <si>
    <t xml:space="preserve">utm_medium</t>
  </si>
  <si>
    <t xml:space="preserve">utm_campaign</t>
  </si>
  <si>
    <t xml:space="preserve">utm_content</t>
  </si>
  <si>
    <t xml:space="preserve">utm_term</t>
  </si>
  <si>
    <t xml:space="preserve">Full URL</t>
  </si>
  <si>
    <t xml:space="preserve">Status</t>
  </si>
  <si>
    <t xml:space="preserve">Launch Date</t>
  </si>
  <si>
    <t xml:space="preserve">META_IL_A1</t>
  </si>
  <si>
    <t xml:space="preserve">Meta</t>
  </si>
  <si>
    <t xml:space="preserve">IL</t>
  </si>
  <si>
    <t xml:space="preserve">Awareness</t>
  </si>
  <si>
    <t xml:space="preserve">facebook</t>
  </si>
  <si>
    <t xml:space="preserve">paid_social</t>
  </si>
  <si>
    <t xml:space="preserve">ppv_il_awareness</t>
  </si>
  <si>
    <t xml:space="preserve">a1_villa_exterior</t>
  </si>
  <si>
    <t xml:space="preserve">PENDING</t>
  </si>
  <si>
    <t xml:space="preserve">META_IL_A2</t>
  </si>
  <si>
    <t xml:space="preserve">a2_features</t>
  </si>
  <si>
    <t xml:space="preserve">META_IL_A3</t>
  </si>
  <si>
    <t xml:space="preserve">instagram</t>
  </si>
  <si>
    <t xml:space="preserve">a3_reel_price</t>
  </si>
  <si>
    <t xml:space="preserve">META_IL_C1</t>
  </si>
  <si>
    <t xml:space="preserve">Consideration</t>
  </si>
  <si>
    <t xml:space="preserve">ppv_il_consideration</t>
  </si>
  <si>
    <t xml:space="preserve">c1_investment</t>
  </si>
  <si>
    <t xml:space="preserve">META_IL_C2</t>
  </si>
  <si>
    <t xml:space="preserve">c2_stories_income</t>
  </si>
  <si>
    <t xml:space="preserve">META_IL_Conv1</t>
  </si>
  <si>
    <t xml:space="preserve">Conversion</t>
  </si>
  <si>
    <t xml:space="preserve">ppv_il_conversion</t>
  </si>
  <si>
    <t xml:space="preserve">conv1_urgency</t>
  </si>
  <si>
    <t xml:space="preserve">META_PH_1A</t>
  </si>
  <si>
    <t xml:space="preserve">PH</t>
  </si>
  <si>
    <t xml:space="preserve">ppv_ph_awareness</t>
  </si>
  <si>
    <t xml:space="preserve">1a_stop_renting</t>
  </si>
  <si>
    <t xml:space="preserve">META_PH_1B</t>
  </si>
  <si>
    <t xml:space="preserve">1b_reel_income</t>
  </si>
  <si>
    <t xml:space="preserve">META_PH_C1</t>
  </si>
  <si>
    <t xml:space="preserve">ppv_ph_consideration</t>
  </si>
  <si>
    <t xml:space="preserve">c1_earn_sleeping</t>
  </si>
  <si>
    <t xml:space="preserve">META_PH_C2</t>
  </si>
  <si>
    <t xml:space="preserve">c2_reel_zero_effort</t>
  </si>
  <si>
    <t xml:space="preserve">META_PH_Conv1</t>
  </si>
  <si>
    <t xml:space="preserve">ppv_ph_conversion</t>
  </si>
  <si>
    <t xml:space="preserve">conv1_urgency_ph</t>
  </si>
  <si>
    <t xml:space="preserve">GOOGLE_IL</t>
  </si>
  <si>
    <t xml:space="preserve">Google</t>
  </si>
  <si>
    <t xml:space="preserve">Search</t>
  </si>
  <si>
    <t xml:space="preserve">google</t>
  </si>
  <si>
    <t xml:space="preserve">cpc</t>
  </si>
  <si>
    <t xml:space="preserve">ppv_il_search</t>
  </si>
  <si>
    <t xml:space="preserve">bohol villa investment hebrew</t>
  </si>
  <si>
    <t xml:space="preserve">GOOGLE_PH</t>
  </si>
  <si>
    <t xml:space="preserve">ppv_ph_search</t>
  </si>
  <si>
    <t xml:space="preserve">panglao villa buy philippines</t>
  </si>
  <si>
    <t xml:space="preserve">Metric</t>
  </si>
  <si>
    <t xml:space="preserve">Formula/Source</t>
  </si>
  <si>
    <t xml:space="preserve">Notes</t>
  </si>
  <si>
    <t xml:space="preserve">Total Campaigns</t>
  </si>
  <si>
    <t xml:space="preserve">All registered campaigns</t>
  </si>
  <si>
    <t xml:space="preserve">IL Campaigns</t>
  </si>
  <si>
    <t xml:space="preserve">Israel market</t>
  </si>
  <si>
    <t xml:space="preserve">PH Campaigns</t>
  </si>
  <si>
    <t xml:space="preserve">Philippines market</t>
  </si>
  <si>
    <t xml:space="preserve">Active Campaigns</t>
  </si>
  <si>
    <t xml:space="preserve">Pending Campaigns</t>
  </si>
  <si>
    <t xml:space="preserve">Parameter</t>
  </si>
  <si>
    <t xml:space="preserve">Pattern</t>
  </si>
  <si>
    <t xml:space="preserve">Example</t>
  </si>
  <si>
    <t xml:space="preserve">Platform name (lowercase)</t>
  </si>
  <si>
    <t xml:space="preserve">facebook, google, instagram</t>
  </si>
  <si>
    <t xml:space="preserve">Channel type</t>
  </si>
  <si>
    <t xml:space="preserve">paid_social, cpc, email, whatsapp</t>
  </si>
  <si>
    <t xml:space="preserve">ppv_{market}_{stage}</t>
  </si>
  <si>
    <t xml:space="preserve">ppv_il_awareness, ppv_ph_conversion</t>
  </si>
  <si>
    <t xml:space="preserve">{stage_code}_{descriptor}</t>
  </si>
  <si>
    <t xml:space="preserve">a1_villa_exterior, conv1_urgency</t>
  </si>
  <si>
    <t xml:space="preserve">Keywords (search only)</t>
  </si>
  <si>
    <t xml:space="preserve">{PLATFORM}_{MARKET}_{CODE}</t>
  </si>
  <si>
    <t xml:space="preserve">META_IL_A1, GOOGLE_PH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</si>
</sst>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A3C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22"/>
    <col collapsed="false" customWidth="true" hidden="false" outlineLevel="0" max="9" min="9" style="0" width="28"/>
    <col collapsed="false" customWidth="true" hidden="false" outlineLevel="0" max="10" min="10" style="0" width="60"/>
    <col collapsed="false" customWidth="true" hidden="false" outlineLevel="0" max="11" min="11" style="0" width="10"/>
    <col collapsed="false" customWidth="true" hidden="false" outlineLevel="0" max="12" min="12" style="0" width="1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/>
      <c r="J2" s="2" t="str">
        <f aca="false">"https://primevilla.ph/?utm_source="&amp;E2&amp;"&amp;utm_medium="&amp;F2&amp;"&amp;utm_campaign="&amp;G2&amp;"&amp;utm_content="&amp;H2&amp;IF(I2&lt;&gt;"","&amp;utm_term="&amp;I2,"")</f>
        <v>https://primevilla.ph/?utm_source=facebook&amp;utm_medium=paid_social&amp;utm_campaign=ppv_il_awareness&amp;utm_content=a1_villa_exterior</v>
      </c>
      <c r="K2" s="3" t="s">
        <v>20</v>
      </c>
      <c r="L2" s="2"/>
    </row>
    <row r="3" customFormat="false" ht="15" hidden="false" customHeight="false" outlineLevel="0" collapsed="false">
      <c r="A3" s="2" t="s">
        <v>21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22</v>
      </c>
      <c r="I3" s="2"/>
      <c r="J3" s="2" t="str">
        <f aca="false">"https://primevilla.ph/?utm_source="&amp;E3&amp;"&amp;utm_medium="&amp;F3&amp;"&amp;utm_campaign="&amp;G3&amp;"&amp;utm_content="&amp;H3&amp;IF(I3&lt;&gt;"","&amp;utm_term="&amp;I3,"")</f>
        <v>https://primevilla.ph/?utm_source=facebook&amp;utm_medium=paid_social&amp;utm_campaign=ppv_il_awareness&amp;utm_content=a2_features</v>
      </c>
      <c r="K3" s="3" t="s">
        <v>20</v>
      </c>
      <c r="L3" s="2"/>
    </row>
    <row r="4" customFormat="false" ht="15" hidden="false" customHeight="false" outlineLevel="0" collapsed="false">
      <c r="A4" s="2" t="s">
        <v>23</v>
      </c>
      <c r="B4" s="2" t="s">
        <v>13</v>
      </c>
      <c r="C4" s="2" t="s">
        <v>14</v>
      </c>
      <c r="D4" s="2" t="s">
        <v>15</v>
      </c>
      <c r="E4" s="2" t="s">
        <v>24</v>
      </c>
      <c r="F4" s="2" t="s">
        <v>17</v>
      </c>
      <c r="G4" s="2" t="s">
        <v>18</v>
      </c>
      <c r="H4" s="2" t="s">
        <v>25</v>
      </c>
      <c r="I4" s="2"/>
      <c r="J4" s="2" t="str">
        <f aca="false">"https://primevilla.ph/?utm_source="&amp;E4&amp;"&amp;utm_medium="&amp;F4&amp;"&amp;utm_campaign="&amp;G4&amp;"&amp;utm_content="&amp;H4&amp;IF(I4&lt;&gt;"","&amp;utm_term="&amp;I4,"")</f>
        <v>https://primevilla.ph/?utm_source=instagram&amp;utm_medium=paid_social&amp;utm_campaign=ppv_il_awareness&amp;utm_content=a3_reel_price</v>
      </c>
      <c r="K4" s="3" t="s">
        <v>20</v>
      </c>
      <c r="L4" s="2"/>
    </row>
    <row r="5" customFormat="false" ht="15" hidden="false" customHeight="false" outlineLevel="0" collapsed="false">
      <c r="A5" s="2" t="s">
        <v>26</v>
      </c>
      <c r="B5" s="2" t="s">
        <v>13</v>
      </c>
      <c r="C5" s="2" t="s">
        <v>14</v>
      </c>
      <c r="D5" s="2" t="s">
        <v>27</v>
      </c>
      <c r="E5" s="2" t="s">
        <v>16</v>
      </c>
      <c r="F5" s="2" t="s">
        <v>17</v>
      </c>
      <c r="G5" s="2" t="s">
        <v>28</v>
      </c>
      <c r="H5" s="2" t="s">
        <v>29</v>
      </c>
      <c r="I5" s="2"/>
      <c r="J5" s="2" t="str">
        <f aca="false">"https://primevilla.ph/?utm_source="&amp;E5&amp;"&amp;utm_medium="&amp;F5&amp;"&amp;utm_campaign="&amp;G5&amp;"&amp;utm_content="&amp;H5&amp;IF(I5&lt;&gt;"","&amp;utm_term="&amp;I5,"")</f>
        <v>https://primevilla.ph/?utm_source=facebook&amp;utm_medium=paid_social&amp;utm_campaign=ppv_il_consideration&amp;utm_content=c1_investment</v>
      </c>
      <c r="K5" s="3" t="s">
        <v>20</v>
      </c>
      <c r="L5" s="2"/>
    </row>
    <row r="6" customFormat="false" ht="15" hidden="false" customHeight="false" outlineLevel="0" collapsed="false">
      <c r="A6" s="2" t="s">
        <v>30</v>
      </c>
      <c r="B6" s="2" t="s">
        <v>13</v>
      </c>
      <c r="C6" s="2" t="s">
        <v>14</v>
      </c>
      <c r="D6" s="2" t="s">
        <v>27</v>
      </c>
      <c r="E6" s="2" t="s">
        <v>24</v>
      </c>
      <c r="F6" s="2" t="s">
        <v>17</v>
      </c>
      <c r="G6" s="2" t="s">
        <v>28</v>
      </c>
      <c r="H6" s="2" t="s">
        <v>31</v>
      </c>
      <c r="I6" s="2"/>
      <c r="J6" s="2" t="str">
        <f aca="false">"https://primevilla.ph/?utm_source="&amp;E6&amp;"&amp;utm_medium="&amp;F6&amp;"&amp;utm_campaign="&amp;G6&amp;"&amp;utm_content="&amp;H6&amp;IF(I6&lt;&gt;"","&amp;utm_term="&amp;I6,"")</f>
        <v>https://primevilla.ph/?utm_source=instagram&amp;utm_medium=paid_social&amp;utm_campaign=ppv_il_consideration&amp;utm_content=c2_stories_income</v>
      </c>
      <c r="K6" s="3" t="s">
        <v>20</v>
      </c>
      <c r="L6" s="2"/>
    </row>
    <row r="7" customFormat="false" ht="15" hidden="false" customHeight="false" outlineLevel="0" collapsed="false">
      <c r="A7" s="2" t="s">
        <v>32</v>
      </c>
      <c r="B7" s="2" t="s">
        <v>13</v>
      </c>
      <c r="C7" s="2" t="s">
        <v>14</v>
      </c>
      <c r="D7" s="2" t="s">
        <v>33</v>
      </c>
      <c r="E7" s="2" t="s">
        <v>16</v>
      </c>
      <c r="F7" s="2" t="s">
        <v>17</v>
      </c>
      <c r="G7" s="2" t="s">
        <v>34</v>
      </c>
      <c r="H7" s="2" t="s">
        <v>35</v>
      </c>
      <c r="I7" s="2"/>
      <c r="J7" s="2" t="str">
        <f aca="false">"https://primevilla.ph/?utm_source="&amp;E7&amp;"&amp;utm_medium="&amp;F7&amp;"&amp;utm_campaign="&amp;G7&amp;"&amp;utm_content="&amp;H7&amp;IF(I7&lt;&gt;"","&amp;utm_term="&amp;I7,"")</f>
        <v>https://primevilla.ph/?utm_source=facebook&amp;utm_medium=paid_social&amp;utm_campaign=ppv_il_conversion&amp;utm_content=conv1_urgency</v>
      </c>
      <c r="K7" s="3" t="s">
        <v>20</v>
      </c>
      <c r="L7" s="2"/>
    </row>
    <row r="8" customFormat="false" ht="15" hidden="false" customHeight="false" outlineLevel="0" collapsed="false">
      <c r="A8" s="2" t="s">
        <v>36</v>
      </c>
      <c r="B8" s="2" t="s">
        <v>13</v>
      </c>
      <c r="C8" s="2" t="s">
        <v>37</v>
      </c>
      <c r="D8" s="2" t="s">
        <v>15</v>
      </c>
      <c r="E8" s="2" t="s">
        <v>16</v>
      </c>
      <c r="F8" s="2" t="s">
        <v>17</v>
      </c>
      <c r="G8" s="2" t="s">
        <v>38</v>
      </c>
      <c r="H8" s="2" t="s">
        <v>39</v>
      </c>
      <c r="I8" s="2"/>
      <c r="J8" s="2" t="str">
        <f aca="false">"https://primevilla.ph/?utm_source="&amp;E8&amp;"&amp;utm_medium="&amp;F8&amp;"&amp;utm_campaign="&amp;G8&amp;"&amp;utm_content="&amp;H8&amp;IF(I8&lt;&gt;"","&amp;utm_term="&amp;I8,"")</f>
        <v>https://primevilla.ph/?utm_source=facebook&amp;utm_medium=paid_social&amp;utm_campaign=ppv_ph_awareness&amp;utm_content=1a_stop_renting</v>
      </c>
      <c r="K8" s="3" t="s">
        <v>20</v>
      </c>
      <c r="L8" s="2"/>
    </row>
    <row r="9" customFormat="false" ht="15" hidden="false" customHeight="false" outlineLevel="0" collapsed="false">
      <c r="A9" s="2" t="s">
        <v>40</v>
      </c>
      <c r="B9" s="2" t="s">
        <v>13</v>
      </c>
      <c r="C9" s="2" t="s">
        <v>37</v>
      </c>
      <c r="D9" s="2" t="s">
        <v>15</v>
      </c>
      <c r="E9" s="2" t="s">
        <v>24</v>
      </c>
      <c r="F9" s="2" t="s">
        <v>17</v>
      </c>
      <c r="G9" s="2" t="s">
        <v>38</v>
      </c>
      <c r="H9" s="2" t="s">
        <v>41</v>
      </c>
      <c r="I9" s="2"/>
      <c r="J9" s="2" t="str">
        <f aca="false">"https://primevilla.ph/?utm_source="&amp;E9&amp;"&amp;utm_medium="&amp;F9&amp;"&amp;utm_campaign="&amp;G9&amp;"&amp;utm_content="&amp;H9&amp;IF(I9&lt;&gt;"","&amp;utm_term="&amp;I9,"")</f>
        <v>https://primevilla.ph/?utm_source=instagram&amp;utm_medium=paid_social&amp;utm_campaign=ppv_ph_awareness&amp;utm_content=1b_reel_income</v>
      </c>
      <c r="K9" s="3" t="s">
        <v>20</v>
      </c>
      <c r="L9" s="2"/>
    </row>
    <row r="10" customFormat="false" ht="15" hidden="false" customHeight="false" outlineLevel="0" collapsed="false">
      <c r="A10" s="2" t="s">
        <v>42</v>
      </c>
      <c r="B10" s="2" t="s">
        <v>13</v>
      </c>
      <c r="C10" s="2" t="s">
        <v>37</v>
      </c>
      <c r="D10" s="2" t="s">
        <v>27</v>
      </c>
      <c r="E10" s="2" t="s">
        <v>16</v>
      </c>
      <c r="F10" s="2" t="s">
        <v>17</v>
      </c>
      <c r="G10" s="2" t="s">
        <v>43</v>
      </c>
      <c r="H10" s="2" t="s">
        <v>44</v>
      </c>
      <c r="I10" s="2"/>
      <c r="J10" s="2" t="str">
        <f aca="false">"https://primevilla.ph/?utm_source="&amp;E10&amp;"&amp;utm_medium="&amp;F10&amp;"&amp;utm_campaign="&amp;G10&amp;"&amp;utm_content="&amp;H10&amp;IF(I10&lt;&gt;"","&amp;utm_term="&amp;I10,"")</f>
        <v>https://primevilla.ph/?utm_source=facebook&amp;utm_medium=paid_social&amp;utm_campaign=ppv_ph_consideration&amp;utm_content=c1_earn_sleeping</v>
      </c>
      <c r="K10" s="3" t="s">
        <v>20</v>
      </c>
      <c r="L10" s="2"/>
    </row>
    <row r="11" customFormat="false" ht="15" hidden="false" customHeight="false" outlineLevel="0" collapsed="false">
      <c r="A11" s="2" t="s">
        <v>45</v>
      </c>
      <c r="B11" s="2" t="s">
        <v>13</v>
      </c>
      <c r="C11" s="2" t="s">
        <v>37</v>
      </c>
      <c r="D11" s="2" t="s">
        <v>27</v>
      </c>
      <c r="E11" s="2" t="s">
        <v>24</v>
      </c>
      <c r="F11" s="2" t="s">
        <v>17</v>
      </c>
      <c r="G11" s="2" t="s">
        <v>43</v>
      </c>
      <c r="H11" s="2" t="s">
        <v>46</v>
      </c>
      <c r="I11" s="2"/>
      <c r="J11" s="2" t="str">
        <f aca="false">"https://primevilla.ph/?utm_source="&amp;E11&amp;"&amp;utm_medium="&amp;F11&amp;"&amp;utm_campaign="&amp;G11&amp;"&amp;utm_content="&amp;H11&amp;IF(I11&lt;&gt;"","&amp;utm_term="&amp;I11,"")</f>
        <v>https://primevilla.ph/?utm_source=instagram&amp;utm_medium=paid_social&amp;utm_campaign=ppv_ph_consideration&amp;utm_content=c2_reel_zero_effort</v>
      </c>
      <c r="K11" s="3" t="s">
        <v>20</v>
      </c>
      <c r="L11" s="2"/>
    </row>
    <row r="12" customFormat="false" ht="15" hidden="false" customHeight="false" outlineLevel="0" collapsed="false">
      <c r="A12" s="2" t="s">
        <v>47</v>
      </c>
      <c r="B12" s="2" t="s">
        <v>13</v>
      </c>
      <c r="C12" s="2" t="s">
        <v>37</v>
      </c>
      <c r="D12" s="2" t="s">
        <v>33</v>
      </c>
      <c r="E12" s="2" t="s">
        <v>16</v>
      </c>
      <c r="F12" s="2" t="s">
        <v>17</v>
      </c>
      <c r="G12" s="2" t="s">
        <v>48</v>
      </c>
      <c r="H12" s="2" t="s">
        <v>49</v>
      </c>
      <c r="I12" s="2"/>
      <c r="J12" s="2" t="str">
        <f aca="false">"https://primevilla.ph/?utm_source="&amp;E12&amp;"&amp;utm_medium="&amp;F12&amp;"&amp;utm_campaign="&amp;G12&amp;"&amp;utm_content="&amp;H12&amp;IF(I12&lt;&gt;"","&amp;utm_term="&amp;I12,"")</f>
        <v>https://primevilla.ph/?utm_source=facebook&amp;utm_medium=paid_social&amp;utm_campaign=ppv_ph_conversion&amp;utm_content=conv1_urgency_ph</v>
      </c>
      <c r="K12" s="3" t="s">
        <v>20</v>
      </c>
      <c r="L12" s="2"/>
    </row>
    <row r="13" customFormat="false" ht="15" hidden="false" customHeight="false" outlineLevel="0" collapsed="false">
      <c r="A13" s="2" t="s">
        <v>50</v>
      </c>
      <c r="B13" s="2" t="s">
        <v>51</v>
      </c>
      <c r="C13" s="2" t="s">
        <v>14</v>
      </c>
      <c r="D13" s="2" t="s">
        <v>52</v>
      </c>
      <c r="E13" s="2" t="s">
        <v>53</v>
      </c>
      <c r="F13" s="2" t="s">
        <v>54</v>
      </c>
      <c r="G13" s="2" t="s">
        <v>55</v>
      </c>
      <c r="H13" s="2"/>
      <c r="I13" s="2" t="s">
        <v>56</v>
      </c>
      <c r="J13" s="2" t="str">
        <f aca="false">"https://primevilla.ph/?utm_source="&amp;E13&amp;"&amp;utm_medium="&amp;F13&amp;"&amp;utm_campaign="&amp;G13&amp;"&amp;utm_content="&amp;H13&amp;IF(I13&lt;&gt;"","&amp;utm_term="&amp;I13,"")</f>
        <v>https://primevilla.ph/?utm_source=google&amp;utm_medium=cpc&amp;utm_campaign=ppv_il_search&amp;utm_content=&amp;utm_term=bohol villa investment hebrew</v>
      </c>
      <c r="K13" s="3" t="s">
        <v>20</v>
      </c>
      <c r="L13" s="2"/>
    </row>
    <row r="14" customFormat="false" ht="15" hidden="false" customHeight="false" outlineLevel="0" collapsed="false">
      <c r="A14" s="2" t="s">
        <v>57</v>
      </c>
      <c r="B14" s="2" t="s">
        <v>51</v>
      </c>
      <c r="C14" s="2" t="s">
        <v>37</v>
      </c>
      <c r="D14" s="2" t="s">
        <v>52</v>
      </c>
      <c r="E14" s="2" t="s">
        <v>53</v>
      </c>
      <c r="F14" s="2" t="s">
        <v>54</v>
      </c>
      <c r="G14" s="2" t="s">
        <v>58</v>
      </c>
      <c r="H14" s="2"/>
      <c r="I14" s="2" t="s">
        <v>59</v>
      </c>
      <c r="J14" s="2" t="str">
        <f aca="false">"https://primevilla.ph/?utm_source="&amp;E14&amp;"&amp;utm_medium="&amp;F14&amp;"&amp;utm_campaign="&amp;G14&amp;"&amp;utm_content="&amp;H14&amp;IF(I14&lt;&gt;"","&amp;utm_term="&amp;I14,"")</f>
        <v>https://primevilla.ph/?utm_source=google&amp;utm_medium=cpc&amp;utm_campaign=ppv_ph_search&amp;utm_content=&amp;utm_term=panglao villa buy philippines</v>
      </c>
      <c r="K14" s="3" t="s">
        <v>20</v>
      </c>
      <c r="L14" s="2"/>
    </row>
  </sheetData>
  <autoFilter ref="A1:L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0"/>
    <col collapsed="false" customWidth="true" hidden="false" outlineLevel="0" max="3" min="3" style="0" width="25"/>
  </cols>
  <sheetData>
    <row r="1" customFormat="false" ht="15" hidden="false" customHeight="false" outlineLevel="0" collapsed="false">
      <c r="A1" s="4" t="s">
        <v>60</v>
      </c>
      <c r="B1" s="4" t="s">
        <v>61</v>
      </c>
      <c r="C1" s="4" t="s">
        <v>62</v>
      </c>
    </row>
    <row r="2" customFormat="false" ht="15" hidden="false" customHeight="false" outlineLevel="0" collapsed="false">
      <c r="A2" s="2" t="s">
        <v>63</v>
      </c>
      <c r="B2" s="2" t="n">
        <f aca="false">COUNTA('UTM Registry'!A2:A14)</f>
        <v>13</v>
      </c>
      <c r="C2" s="2" t="s">
        <v>64</v>
      </c>
    </row>
    <row r="3" customFormat="false" ht="15" hidden="false" customHeight="false" outlineLevel="0" collapsed="false">
      <c r="A3" s="2" t="s">
        <v>65</v>
      </c>
      <c r="B3" s="2" t="n">
        <f aca="false">COUNTIF('UTM Registry'!C2:C14,"IL")</f>
        <v>7</v>
      </c>
      <c r="C3" s="2" t="s">
        <v>66</v>
      </c>
    </row>
    <row r="4" customFormat="false" ht="15" hidden="false" customHeight="false" outlineLevel="0" collapsed="false">
      <c r="A4" s="2" t="s">
        <v>67</v>
      </c>
      <c r="B4" s="2" t="n">
        <f aca="false">COUNTIF('UTM Registry'!C2:C14,"PH")</f>
        <v>6</v>
      </c>
      <c r="C4" s="2" t="s">
        <v>68</v>
      </c>
    </row>
    <row r="5" customFormat="false" ht="15" hidden="false" customHeight="false" outlineLevel="0" collapsed="false">
      <c r="A5" s="2" t="s">
        <v>15</v>
      </c>
      <c r="B5" s="2" t="n">
        <f aca="false">COUNTIF('UTM Registry'!D2:D14,"Awareness")</f>
        <v>5</v>
      </c>
      <c r="C5" s="2"/>
    </row>
    <row r="6" customFormat="false" ht="15" hidden="false" customHeight="false" outlineLevel="0" collapsed="false">
      <c r="A6" s="2" t="s">
        <v>27</v>
      </c>
      <c r="B6" s="2" t="n">
        <f aca="false">COUNTIF('UTM Registry'!D2:D14,"Consideration")</f>
        <v>4</v>
      </c>
      <c r="C6" s="2"/>
    </row>
    <row r="7" customFormat="false" ht="15" hidden="false" customHeight="false" outlineLevel="0" collapsed="false">
      <c r="A7" s="2" t="s">
        <v>33</v>
      </c>
      <c r="B7" s="2" t="n">
        <f aca="false">COUNTIF('UTM Registry'!D2:D14,"Conversion")</f>
        <v>2</v>
      </c>
      <c r="C7" s="2"/>
    </row>
    <row r="8" customFormat="false" ht="15" hidden="false" customHeight="false" outlineLevel="0" collapsed="false">
      <c r="A8" s="2" t="s">
        <v>52</v>
      </c>
      <c r="B8" s="2" t="n">
        <f aca="false">COUNTIF('UTM Registry'!D2:D14,"Search")</f>
        <v>2</v>
      </c>
      <c r="C8" s="2"/>
    </row>
    <row r="9" customFormat="false" ht="15" hidden="false" customHeight="false" outlineLevel="0" collapsed="false">
      <c r="A9" s="2" t="s">
        <v>69</v>
      </c>
      <c r="B9" s="2" t="n">
        <f aca="false">COUNTIF('UTM Registry'!K2:K14,"ACTIVE")</f>
        <v>0</v>
      </c>
      <c r="C9" s="2"/>
    </row>
    <row r="10" customFormat="false" ht="15" hidden="false" customHeight="false" outlineLevel="0" collapsed="false">
      <c r="A10" s="2" t="s">
        <v>70</v>
      </c>
      <c r="B10" s="2" t="n">
        <f aca="false">COUNTIF('UTM Registry'!K2:K14,"PENDING")</f>
        <v>13</v>
      </c>
      <c r="C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5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4" t="s">
        <v>71</v>
      </c>
      <c r="B1" s="4" t="s">
        <v>72</v>
      </c>
      <c r="C1" s="4" t="s">
        <v>73</v>
      </c>
    </row>
    <row r="2" customFormat="false" ht="15" hidden="false" customHeight="false" outlineLevel="0" collapsed="false">
      <c r="A2" s="2" t="s">
        <v>4</v>
      </c>
      <c r="B2" s="2" t="s">
        <v>74</v>
      </c>
      <c r="C2" s="2" t="s">
        <v>75</v>
      </c>
    </row>
    <row r="3" customFormat="false" ht="15" hidden="false" customHeight="false" outlineLevel="0" collapsed="false">
      <c r="A3" s="2" t="s">
        <v>5</v>
      </c>
      <c r="B3" s="2" t="s">
        <v>76</v>
      </c>
      <c r="C3" s="2" t="s">
        <v>77</v>
      </c>
    </row>
    <row r="4" customFormat="false" ht="15" hidden="false" customHeight="false" outlineLevel="0" collapsed="false">
      <c r="A4" s="2" t="s">
        <v>6</v>
      </c>
      <c r="B4" s="2" t="s">
        <v>78</v>
      </c>
      <c r="C4" s="2" t="s">
        <v>79</v>
      </c>
    </row>
    <row r="5" customFormat="false" ht="15" hidden="false" customHeight="false" outlineLevel="0" collapsed="false">
      <c r="A5" s="2" t="s">
        <v>7</v>
      </c>
      <c r="B5" s="2" t="s">
        <v>80</v>
      </c>
      <c r="C5" s="2" t="s">
        <v>81</v>
      </c>
    </row>
    <row r="6" customFormat="false" ht="15" hidden="false" customHeight="false" outlineLevel="0" collapsed="false">
      <c r="A6" s="2" t="s">
        <v>8</v>
      </c>
      <c r="B6" s="2" t="s">
        <v>82</v>
      </c>
      <c r="C6" s="2" t="s">
        <v>56</v>
      </c>
    </row>
    <row r="7" customFormat="false" ht="15" hidden="false" customHeight="false" outlineLevel="0" collapsed="false">
      <c r="A7" s="2" t="s">
        <v>0</v>
      </c>
      <c r="B7" s="2" t="s">
        <v>83</v>
      </c>
      <c r="C7" s="2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2026-04-16T08:12:58Z</dcterms:created>
  <dc:creator>openpyxl</dc:creator>
  <dc:description/>
  <dc:language>en-US</dc:language>
  <cp:lastModifiedBy/>
  <dcterms:modified xsi:type="dcterms:W3CDTF">2026-04-16T08:12:58Z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